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yu/Documents/TOSEM/Evaluation/"/>
    </mc:Choice>
  </mc:AlternateContent>
  <xr:revisionPtr revIDLastSave="0" documentId="8_{A727EE8E-0700-224B-865E-10AF52DB823E}" xr6:coauthVersionLast="47" xr6:coauthVersionMax="47" xr10:uidLastSave="{00000000-0000-0000-0000-000000000000}"/>
  <bookViews>
    <workbookView xWindow="5780" yWindow="2220" windowWidth="28040" windowHeight="17440" activeTab="1" xr2:uid="{15F1C888-9622-4E45-B350-BC7F2AA1EBE6}"/>
  </bookViews>
  <sheets>
    <sheet name="10-20" sheetId="4" r:id="rId1"/>
    <sheet name="qwen3-1020" sheetId="5" r:id="rId2"/>
    <sheet name="Sheet4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6" l="1"/>
  <c r="D33" i="6"/>
  <c r="E32" i="6"/>
  <c r="D32" i="6"/>
  <c r="E31" i="6"/>
  <c r="D31" i="6"/>
  <c r="E27" i="6"/>
  <c r="D27" i="6"/>
  <c r="E26" i="6"/>
  <c r="D26" i="6"/>
  <c r="E25" i="6"/>
  <c r="D25" i="6"/>
  <c r="D21" i="6"/>
  <c r="E21" i="6"/>
  <c r="E20" i="6"/>
  <c r="D20" i="6"/>
  <c r="E19" i="6"/>
  <c r="D19" i="6"/>
  <c r="E18" i="6"/>
  <c r="D18" i="6"/>
  <c r="E28" i="5"/>
  <c r="D28" i="5"/>
  <c r="J14" i="6"/>
  <c r="I14" i="6"/>
  <c r="J13" i="6"/>
  <c r="I13" i="6"/>
  <c r="J12" i="6"/>
  <c r="I12" i="6"/>
  <c r="D13" i="6"/>
  <c r="E13" i="6"/>
  <c r="D14" i="6"/>
  <c r="E14" i="6"/>
  <c r="E12" i="6"/>
  <c r="D12" i="6"/>
  <c r="F5" i="6"/>
  <c r="E5" i="6"/>
  <c r="G5" i="6" s="1"/>
  <c r="E14" i="5"/>
  <c r="D14" i="5"/>
  <c r="E13" i="5"/>
  <c r="D13" i="5"/>
  <c r="E12" i="5"/>
  <c r="D12" i="5"/>
  <c r="E11" i="5"/>
  <c r="D11" i="5"/>
  <c r="N6" i="6"/>
  <c r="M6" i="6"/>
  <c r="N5" i="6"/>
  <c r="M5" i="6"/>
  <c r="N4" i="6"/>
  <c r="M4" i="6"/>
  <c r="N3" i="6"/>
  <c r="M3" i="6"/>
  <c r="F8" i="6"/>
  <c r="E8" i="6"/>
  <c r="G8" i="6" s="1"/>
  <c r="F4" i="6"/>
  <c r="E4" i="6"/>
  <c r="G4" i="6" s="1"/>
  <c r="F3" i="6"/>
  <c r="E3" i="6"/>
  <c r="G3" i="6" s="1"/>
  <c r="D19" i="5"/>
  <c r="E19" i="5"/>
  <c r="F19" i="5"/>
  <c r="D20" i="5"/>
  <c r="E20" i="5"/>
  <c r="E18" i="5"/>
  <c r="D18" i="5"/>
  <c r="E20" i="4"/>
  <c r="D20" i="4"/>
  <c r="F20" i="4" s="1"/>
  <c r="E19" i="4"/>
  <c r="D19" i="4"/>
  <c r="E18" i="4"/>
  <c r="D18" i="4"/>
  <c r="E17" i="4"/>
  <c r="D17" i="4"/>
  <c r="E16" i="4"/>
  <c r="D16" i="4"/>
  <c r="D26" i="5"/>
  <c r="E26" i="5"/>
  <c r="D27" i="5"/>
  <c r="E27" i="5"/>
  <c r="E25" i="5"/>
  <c r="D25" i="5"/>
  <c r="E24" i="5"/>
  <c r="D24" i="5"/>
  <c r="Q37" i="5"/>
  <c r="P37" i="5"/>
  <c r="Q36" i="5"/>
  <c r="P36" i="5"/>
  <c r="M37" i="5"/>
  <c r="L37" i="5"/>
  <c r="M36" i="5"/>
  <c r="L36" i="5"/>
  <c r="F20" i="5" l="1"/>
  <c r="F18" i="5"/>
  <c r="F17" i="4"/>
  <c r="F16" i="4"/>
  <c r="F19" i="4"/>
  <c r="O6" i="6"/>
  <c r="O5" i="6"/>
  <c r="O4" i="6"/>
  <c r="O3" i="6"/>
  <c r="F18" i="4"/>
  <c r="J20" i="4"/>
  <c r="I20" i="4"/>
  <c r="K20" i="4" s="1"/>
  <c r="I17" i="4"/>
  <c r="J17" i="4"/>
  <c r="I18" i="4"/>
  <c r="J18" i="4"/>
  <c r="I19" i="4"/>
  <c r="J19" i="4"/>
  <c r="J16" i="4"/>
  <c r="I16" i="4"/>
  <c r="E2" i="5"/>
  <c r="D2" i="5"/>
  <c r="E5" i="5"/>
  <c r="D5" i="5"/>
  <c r="E4" i="5"/>
  <c r="D4" i="5"/>
  <c r="E3" i="5"/>
  <c r="D3" i="5"/>
  <c r="H37" i="5"/>
  <c r="I37" i="5"/>
  <c r="I36" i="5"/>
  <c r="H36" i="5"/>
  <c r="D37" i="5"/>
  <c r="E37" i="5"/>
  <c r="E36" i="5"/>
  <c r="D36" i="5"/>
  <c r="D8" i="4"/>
  <c r="P8" i="4"/>
  <c r="P7" i="4"/>
  <c r="P6" i="4"/>
  <c r="P5" i="4"/>
  <c r="P4" i="4"/>
  <c r="P3" i="4"/>
  <c r="M8" i="4"/>
  <c r="M7" i="4"/>
  <c r="M6" i="4"/>
  <c r="M5" i="4"/>
  <c r="M4" i="4"/>
  <c r="M3" i="4"/>
  <c r="J8" i="4"/>
  <c r="J7" i="4"/>
  <c r="J6" i="4"/>
  <c r="J5" i="4"/>
  <c r="J4" i="4"/>
  <c r="J3" i="4"/>
  <c r="G4" i="4"/>
  <c r="G5" i="4"/>
  <c r="G6" i="4"/>
  <c r="G7" i="4"/>
  <c r="G8" i="4"/>
  <c r="G3" i="4"/>
  <c r="D4" i="4"/>
  <c r="D5" i="4"/>
  <c r="D6" i="4"/>
  <c r="D7" i="4"/>
  <c r="D3" i="4"/>
  <c r="K16" i="4" l="1"/>
  <c r="K19" i="4"/>
  <c r="K17" i="4"/>
  <c r="K18" i="4"/>
</calcChain>
</file>

<file path=xl/sharedStrings.xml><?xml version="1.0" encoding="utf-8"?>
<sst xmlns="http://schemas.openxmlformats.org/spreadsheetml/2006/main" count="161" uniqueCount="53">
  <si>
    <t>TPC</t>
  </si>
  <si>
    <t>base</t>
  </si>
  <si>
    <t>FP</t>
  </si>
  <si>
    <t>model</t>
  </si>
  <si>
    <t>new prompt</t>
  </si>
  <si>
    <t>NCFprompt(w/ eg)</t>
  </si>
  <si>
    <t>gpt4o</t>
  </si>
  <si>
    <t>gpt5</t>
  </si>
  <si>
    <t>gemini2.5 flash</t>
  </si>
  <si>
    <t>gemini2.5 pro</t>
  </si>
  <si>
    <t>new prompt w/ eg</t>
  </si>
  <si>
    <t>NCFprompt</t>
  </si>
  <si>
    <t>deepseek-chat</t>
  </si>
  <si>
    <t>TPC%</t>
  </si>
  <si>
    <t>FP%</t>
  </si>
  <si>
    <t>deepseek-reasoner</t>
  </si>
  <si>
    <t>diff</t>
  </si>
  <si>
    <t>TPC/50</t>
  </si>
  <si>
    <t>FP/50</t>
  </si>
  <si>
    <t>only_finetune(temp = 0)</t>
  </si>
  <si>
    <t>all_rounds</t>
  </si>
  <si>
    <t>temp0_run</t>
  </si>
  <si>
    <t>base_prompt</t>
  </si>
  <si>
    <t>complex_prompt1</t>
  </si>
  <si>
    <t>NCF_prompt</t>
  </si>
  <si>
    <t>new_prompt</t>
  </si>
  <si>
    <t>multi_round</t>
  </si>
  <si>
    <t>first round</t>
  </si>
  <si>
    <t>all round</t>
  </si>
  <si>
    <t>gpt4o(NCFprompt)</t>
  </si>
  <si>
    <t>gpt5(new)</t>
  </si>
  <si>
    <t>flash(simple)</t>
  </si>
  <si>
    <t>pro(simple)</t>
  </si>
  <si>
    <t>pro(ncf)</t>
  </si>
  <si>
    <t>reasoning generated by gemini with designed prompt</t>
  </si>
  <si>
    <t>reasoning summary from gemini pro</t>
  </si>
  <si>
    <t>reasoning summary from gpt5</t>
  </si>
  <si>
    <t>non-reasoning</t>
  </si>
  <si>
    <t>size</t>
  </si>
  <si>
    <t>FineChain</t>
  </si>
  <si>
    <t>finetune</t>
  </si>
  <si>
    <t>DA(TPC -FP)</t>
  </si>
  <si>
    <t>multi-round</t>
  </si>
  <si>
    <t>infer by finetune model</t>
  </si>
  <si>
    <t>round 2</t>
  </si>
  <si>
    <t>round 3</t>
  </si>
  <si>
    <t>round 4</t>
  </si>
  <si>
    <t>TPW</t>
  </si>
  <si>
    <t>FP+TPW%</t>
  </si>
  <si>
    <t>All in one</t>
  </si>
  <si>
    <t>gemini-summary</t>
  </si>
  <si>
    <t>deepseek chat</t>
  </si>
  <si>
    <t>gemeni2.5-flash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</si>
</sst>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wrapText="1"/>
    </xf>
    <xf numFmtId="10" fontId="0" fillId="0" borderId="2" xfId="0" applyNumberFormat="1" applyBorder="1"/>
    <xf numFmtId="0" fontId="0" fillId="0" borderId="2" xfId="0" applyBorder="1"/>
    <xf numFmtId="0" fontId="0" fillId="0" borderId="3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AE7B-6038-8F46-BA8E-78D10C0E1F7A}">
  <dimension ref="A1:P20"/>
  <sheetViews>
    <sheetView workbookViewId="0">
      <selection activeCell="C15" sqref="C15"/>
    </sheetView>
  </sheetViews>
  <sheetFormatPr baseColWidth="10" defaultRowHeight="16" x14ac:dyDescent="0.2"/>
  <cols>
    <col min="1" max="1" width="13.83203125" customWidth="1"/>
  </cols>
  <sheetData>
    <row r="1" spans="1:16" x14ac:dyDescent="0.2">
      <c r="B1" s="16" t="s">
        <v>1</v>
      </c>
      <c r="C1" s="16"/>
      <c r="D1" s="5"/>
      <c r="E1" s="16" t="s">
        <v>4</v>
      </c>
      <c r="F1" s="17"/>
      <c r="G1" s="5"/>
      <c r="H1" s="16" t="s">
        <v>10</v>
      </c>
      <c r="I1" s="17"/>
      <c r="J1" s="6"/>
      <c r="K1" s="13" t="s">
        <v>11</v>
      </c>
      <c r="L1" s="13"/>
      <c r="M1" s="7"/>
      <c r="N1" s="14" t="s">
        <v>5</v>
      </c>
      <c r="O1" s="15"/>
    </row>
    <row r="2" spans="1:16" x14ac:dyDescent="0.2">
      <c r="A2" t="s">
        <v>3</v>
      </c>
      <c r="B2" t="s">
        <v>0</v>
      </c>
      <c r="C2" t="s">
        <v>2</v>
      </c>
      <c r="D2" t="s">
        <v>16</v>
      </c>
      <c r="E2" t="s">
        <v>0</v>
      </c>
      <c r="F2" t="s">
        <v>2</v>
      </c>
      <c r="G2" t="s">
        <v>16</v>
      </c>
      <c r="J2" t="s">
        <v>16</v>
      </c>
      <c r="K2" t="s">
        <v>0</v>
      </c>
      <c r="L2" t="s">
        <v>2</v>
      </c>
      <c r="M2" t="s">
        <v>16</v>
      </c>
      <c r="N2" t="s">
        <v>0</v>
      </c>
      <c r="O2" t="s">
        <v>2</v>
      </c>
      <c r="P2" t="s">
        <v>16</v>
      </c>
    </row>
    <row r="3" spans="1:16" x14ac:dyDescent="0.2">
      <c r="A3" t="s">
        <v>6</v>
      </c>
      <c r="B3" s="1">
        <v>0.23330000000000001</v>
      </c>
      <c r="C3" s="1">
        <v>4.6699999999999998E-2</v>
      </c>
      <c r="D3" s="1">
        <f>B3-C3</f>
        <v>0.18660000000000002</v>
      </c>
      <c r="E3" s="1">
        <v>0.21329999999999999</v>
      </c>
      <c r="F3" s="1">
        <v>2.6700000000000002E-2</v>
      </c>
      <c r="G3" s="1">
        <f>E3-F3</f>
        <v>0.18659999999999999</v>
      </c>
      <c r="H3" s="1">
        <v>0.16669999999999999</v>
      </c>
      <c r="I3" s="1">
        <v>1.3299999999999999E-2</v>
      </c>
      <c r="J3" s="1">
        <f>H3-I3</f>
        <v>0.15339999999999998</v>
      </c>
      <c r="K3" s="1">
        <v>0.43330000000000002</v>
      </c>
      <c r="L3" s="1">
        <v>0.29330000000000001</v>
      </c>
      <c r="M3" s="1">
        <f>K3-L3</f>
        <v>0.14000000000000001</v>
      </c>
      <c r="N3" s="1">
        <v>0.55330000000000001</v>
      </c>
      <c r="O3" s="1">
        <v>0.54</v>
      </c>
      <c r="P3" s="1">
        <f>N3-O3</f>
        <v>1.3299999999999979E-2</v>
      </c>
    </row>
    <row r="4" spans="1:16" x14ac:dyDescent="0.2">
      <c r="A4" t="s">
        <v>7</v>
      </c>
      <c r="B4" s="1">
        <v>0.66</v>
      </c>
      <c r="C4" s="1">
        <v>6.6699999999999995E-2</v>
      </c>
      <c r="D4" s="1">
        <f>B4-C4</f>
        <v>0.59330000000000005</v>
      </c>
      <c r="E4" s="1">
        <v>0.6</v>
      </c>
      <c r="F4" s="1">
        <v>0.06</v>
      </c>
      <c r="G4" s="1">
        <f>E4-F4</f>
        <v>0.54</v>
      </c>
      <c r="H4" s="1">
        <v>0.56669999999999998</v>
      </c>
      <c r="I4" s="1">
        <v>4.6699999999999998E-2</v>
      </c>
      <c r="J4" s="1">
        <f t="shared" ref="J4:J8" si="0">H4-I4</f>
        <v>0.52</v>
      </c>
      <c r="K4" s="1">
        <v>0.67330000000000001</v>
      </c>
      <c r="L4" s="1">
        <v>0.12670000000000001</v>
      </c>
      <c r="M4" s="1">
        <f t="shared" ref="M4:M8" si="1">K4-L4</f>
        <v>0.54659999999999997</v>
      </c>
      <c r="N4" s="1">
        <v>0.66</v>
      </c>
      <c r="O4" s="1">
        <v>0.1</v>
      </c>
      <c r="P4" s="1">
        <f t="shared" ref="P4:P8" si="2">N4-O4</f>
        <v>0.56000000000000005</v>
      </c>
    </row>
    <row r="5" spans="1:16" x14ac:dyDescent="0.2">
      <c r="A5" t="s">
        <v>8</v>
      </c>
      <c r="B5" s="1">
        <v>0.78</v>
      </c>
      <c r="C5" s="1">
        <v>0.4</v>
      </c>
      <c r="D5" s="1">
        <f>B5-C5</f>
        <v>0.38</v>
      </c>
      <c r="E5" s="1">
        <v>0.8</v>
      </c>
      <c r="F5" s="1">
        <v>0.33329999999999999</v>
      </c>
      <c r="G5" s="1">
        <f>E5-F5</f>
        <v>0.46670000000000006</v>
      </c>
      <c r="H5" s="1">
        <v>0.72670000000000001</v>
      </c>
      <c r="I5" s="1">
        <v>0.4133</v>
      </c>
      <c r="J5" s="1">
        <f t="shared" si="0"/>
        <v>0.31340000000000001</v>
      </c>
      <c r="K5" s="1">
        <v>0.82669999999999999</v>
      </c>
      <c r="L5" s="1">
        <v>0.4133</v>
      </c>
      <c r="M5" s="1">
        <f t="shared" si="1"/>
        <v>0.41339999999999999</v>
      </c>
      <c r="N5" s="1">
        <v>0.81330000000000002</v>
      </c>
      <c r="O5" s="1">
        <v>0.37330000000000002</v>
      </c>
      <c r="P5" s="1">
        <f t="shared" si="2"/>
        <v>0.44</v>
      </c>
    </row>
    <row r="6" spans="1:16" x14ac:dyDescent="0.2">
      <c r="A6" t="s">
        <v>9</v>
      </c>
      <c r="B6" s="1">
        <v>0.74670000000000003</v>
      </c>
      <c r="C6" s="1">
        <v>0.45329999999999998</v>
      </c>
      <c r="D6" s="1">
        <f>B6-C6</f>
        <v>0.29340000000000005</v>
      </c>
      <c r="E6" s="1">
        <v>0.78669999999999995</v>
      </c>
      <c r="F6" s="1">
        <v>0.32669999999999999</v>
      </c>
      <c r="G6" s="1">
        <f>E6-F6</f>
        <v>0.45999999999999996</v>
      </c>
      <c r="H6" s="1">
        <v>0.86670000000000003</v>
      </c>
      <c r="I6" s="1">
        <v>0.4133</v>
      </c>
      <c r="J6" s="1">
        <f t="shared" si="0"/>
        <v>0.45340000000000003</v>
      </c>
      <c r="K6" s="1">
        <v>0.82669999999999999</v>
      </c>
      <c r="L6" s="1">
        <v>0.26</v>
      </c>
      <c r="M6" s="1">
        <f t="shared" si="1"/>
        <v>0.56669999999999998</v>
      </c>
      <c r="N6" s="1">
        <v>0.87329999999999997</v>
      </c>
      <c r="O6" s="1">
        <v>0.3</v>
      </c>
      <c r="P6" s="1">
        <f t="shared" si="2"/>
        <v>0.57329999999999992</v>
      </c>
    </row>
    <row r="7" spans="1:16" ht="17" x14ac:dyDescent="0.2">
      <c r="A7" s="8" t="s">
        <v>12</v>
      </c>
      <c r="B7" s="1">
        <v>0.5867</v>
      </c>
      <c r="C7" s="1">
        <v>0.62670000000000003</v>
      </c>
      <c r="D7" s="1">
        <f>B7-C7</f>
        <v>-4.0000000000000036E-2</v>
      </c>
      <c r="E7" s="1">
        <v>0.16670000000000001</v>
      </c>
      <c r="F7" s="1">
        <v>2.6699999999999998E-2</v>
      </c>
      <c r="G7" s="1">
        <f>E7-F7</f>
        <v>0.14000000000000001</v>
      </c>
      <c r="H7" s="1">
        <v>0.16670000000000001</v>
      </c>
      <c r="I7" s="1">
        <v>5.33E-2</v>
      </c>
      <c r="J7" s="1">
        <f t="shared" si="0"/>
        <v>0.11340000000000001</v>
      </c>
      <c r="K7" s="1">
        <v>0.38</v>
      </c>
      <c r="L7" s="1">
        <v>0.06</v>
      </c>
      <c r="M7" s="1">
        <f t="shared" si="1"/>
        <v>0.32</v>
      </c>
      <c r="N7" s="1">
        <v>0.26</v>
      </c>
      <c r="O7" s="1">
        <v>0.06</v>
      </c>
      <c r="P7" s="1">
        <f t="shared" si="2"/>
        <v>0.2</v>
      </c>
    </row>
    <row r="8" spans="1:16" x14ac:dyDescent="0.2">
      <c r="A8" t="s">
        <v>15</v>
      </c>
      <c r="B8" s="1">
        <v>0.74670000000000003</v>
      </c>
      <c r="C8" s="1">
        <v>0.26</v>
      </c>
      <c r="D8" s="1">
        <f>B8-C8</f>
        <v>0.48670000000000002</v>
      </c>
      <c r="E8" s="1">
        <v>0.57999999999999996</v>
      </c>
      <c r="F8" s="1">
        <v>0.1333</v>
      </c>
      <c r="G8" s="1">
        <f>E8-F8</f>
        <v>0.44669999999999999</v>
      </c>
      <c r="H8" s="1">
        <v>0.63329999999999997</v>
      </c>
      <c r="I8" s="1">
        <v>9.3299999999999994E-2</v>
      </c>
      <c r="J8" s="1">
        <f t="shared" si="0"/>
        <v>0.54</v>
      </c>
      <c r="K8" s="1">
        <v>0.61329999999999996</v>
      </c>
      <c r="L8" s="1">
        <v>4.6699999999999998E-2</v>
      </c>
      <c r="M8" s="1">
        <f t="shared" si="1"/>
        <v>0.56659999999999999</v>
      </c>
      <c r="N8" s="1">
        <v>0.66</v>
      </c>
      <c r="O8" s="1">
        <v>0.12</v>
      </c>
      <c r="P8" s="1">
        <f t="shared" si="2"/>
        <v>0.54</v>
      </c>
    </row>
    <row r="12" spans="1:16" x14ac:dyDescent="0.2">
      <c r="B12" s="1"/>
      <c r="C12" s="1"/>
      <c r="D12" s="1"/>
    </row>
    <row r="13" spans="1:16" x14ac:dyDescent="0.2">
      <c r="B13" s="1"/>
      <c r="C13" s="1"/>
      <c r="D13" s="1"/>
    </row>
    <row r="14" spans="1:16" x14ac:dyDescent="0.2">
      <c r="A14" t="s">
        <v>26</v>
      </c>
      <c r="B14" s="18" t="s">
        <v>27</v>
      </c>
      <c r="C14" s="18"/>
      <c r="G14" s="18" t="s">
        <v>28</v>
      </c>
      <c r="H14" s="18"/>
    </row>
    <row r="15" spans="1:16" x14ac:dyDescent="0.2">
      <c r="A15" t="s">
        <v>3</v>
      </c>
      <c r="B15" s="2" t="s">
        <v>17</v>
      </c>
      <c r="C15" s="2" t="s">
        <v>18</v>
      </c>
      <c r="G15" s="2" t="s">
        <v>17</v>
      </c>
      <c r="H15" s="2" t="s">
        <v>18</v>
      </c>
      <c r="I15" s="2" t="s">
        <v>13</v>
      </c>
      <c r="J15" s="2" t="s">
        <v>14</v>
      </c>
    </row>
    <row r="16" spans="1:16" x14ac:dyDescent="0.2">
      <c r="A16" t="s">
        <v>29</v>
      </c>
      <c r="B16">
        <v>29</v>
      </c>
      <c r="C16">
        <v>28</v>
      </c>
      <c r="D16" s="3">
        <f>B16/50</f>
        <v>0.57999999999999996</v>
      </c>
      <c r="E16" s="3">
        <f>C16/50</f>
        <v>0.56000000000000005</v>
      </c>
      <c r="F16" s="1">
        <f>D16-E16</f>
        <v>1.9999999999999907E-2</v>
      </c>
      <c r="G16">
        <v>26</v>
      </c>
      <c r="H16">
        <v>16</v>
      </c>
      <c r="I16" s="3">
        <f>G16/50</f>
        <v>0.52</v>
      </c>
      <c r="J16" s="3">
        <f>H16/50</f>
        <v>0.32</v>
      </c>
      <c r="K16" s="1">
        <f>I16-J16</f>
        <v>0.2</v>
      </c>
    </row>
    <row r="17" spans="1:11" x14ac:dyDescent="0.2">
      <c r="A17" t="s">
        <v>30</v>
      </c>
      <c r="B17">
        <v>30</v>
      </c>
      <c r="C17">
        <v>2</v>
      </c>
      <c r="D17" s="3">
        <f>B17/50</f>
        <v>0.6</v>
      </c>
      <c r="E17" s="3">
        <f>C17/50</f>
        <v>0.04</v>
      </c>
      <c r="F17" s="1">
        <f>D17-E17</f>
        <v>0.55999999999999994</v>
      </c>
      <c r="G17">
        <v>27</v>
      </c>
      <c r="H17">
        <v>2</v>
      </c>
      <c r="I17" s="3">
        <f t="shared" ref="I17:I20" si="3">G17/50</f>
        <v>0.54</v>
      </c>
      <c r="J17" s="3">
        <f t="shared" ref="J17:J20" si="4">H17/50</f>
        <v>0.04</v>
      </c>
      <c r="K17" s="1">
        <f t="shared" ref="K17:K20" si="5">I17-J17</f>
        <v>0.5</v>
      </c>
    </row>
    <row r="18" spans="1:11" x14ac:dyDescent="0.2">
      <c r="A18" t="s">
        <v>31</v>
      </c>
      <c r="B18">
        <v>42</v>
      </c>
      <c r="C18">
        <v>19</v>
      </c>
      <c r="D18" s="3">
        <f>B18/50</f>
        <v>0.84</v>
      </c>
      <c r="E18" s="3">
        <f>C18/50</f>
        <v>0.38</v>
      </c>
      <c r="F18" s="1">
        <f>D18-E18</f>
        <v>0.45999999999999996</v>
      </c>
      <c r="G18">
        <v>39</v>
      </c>
      <c r="H18">
        <v>12</v>
      </c>
      <c r="I18" s="3">
        <f t="shared" si="3"/>
        <v>0.78</v>
      </c>
      <c r="J18" s="3">
        <f t="shared" si="4"/>
        <v>0.24</v>
      </c>
      <c r="K18" s="1">
        <f t="shared" si="5"/>
        <v>0.54</v>
      </c>
    </row>
    <row r="19" spans="1:11" x14ac:dyDescent="0.2">
      <c r="A19" t="s">
        <v>32</v>
      </c>
      <c r="B19">
        <v>39</v>
      </c>
      <c r="C19">
        <v>23</v>
      </c>
      <c r="D19" s="3">
        <f>B19/50</f>
        <v>0.78</v>
      </c>
      <c r="E19" s="3">
        <f>C19/50</f>
        <v>0.46</v>
      </c>
      <c r="F19" s="1">
        <f>D19-E19</f>
        <v>0.32</v>
      </c>
      <c r="G19">
        <v>37</v>
      </c>
      <c r="H19">
        <v>17</v>
      </c>
      <c r="I19" s="3">
        <f t="shared" si="3"/>
        <v>0.74</v>
      </c>
      <c r="J19" s="3">
        <f t="shared" si="4"/>
        <v>0.34</v>
      </c>
      <c r="K19" s="1">
        <f t="shared" si="5"/>
        <v>0.39999999999999997</v>
      </c>
    </row>
    <row r="20" spans="1:11" x14ac:dyDescent="0.2">
      <c r="A20" t="s">
        <v>33</v>
      </c>
      <c r="B20">
        <v>42</v>
      </c>
      <c r="C20">
        <v>13</v>
      </c>
      <c r="D20" s="9">
        <f>B20/50</f>
        <v>0.84</v>
      </c>
      <c r="E20" s="9">
        <f>C20/50</f>
        <v>0.26</v>
      </c>
      <c r="F20" s="1">
        <f>D20-E20</f>
        <v>0.57999999999999996</v>
      </c>
      <c r="G20">
        <v>41</v>
      </c>
      <c r="H20">
        <v>12</v>
      </c>
      <c r="I20" s="9">
        <f t="shared" si="3"/>
        <v>0.82</v>
      </c>
      <c r="J20" s="9">
        <f t="shared" si="4"/>
        <v>0.24</v>
      </c>
      <c r="K20" s="1">
        <f t="shared" si="5"/>
        <v>0.57999999999999996</v>
      </c>
    </row>
  </sheetData>
  <mergeCells count="7">
    <mergeCell ref="N1:O1"/>
    <mergeCell ref="B14:C14"/>
    <mergeCell ref="G14:H14"/>
    <mergeCell ref="B1:C1"/>
    <mergeCell ref="E1:F1"/>
    <mergeCell ref="K1:L1"/>
    <mergeCell ref="H1:I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67ED-C023-E24D-A6FA-CDE204B65617}">
  <dimension ref="A1:Q51"/>
  <sheetViews>
    <sheetView tabSelected="1" workbookViewId="0">
      <selection activeCell="J29" sqref="J29"/>
    </sheetView>
  </sheetViews>
  <sheetFormatPr baseColWidth="10" defaultRowHeight="16" x14ac:dyDescent="0.2"/>
  <cols>
    <col min="8" max="8" width="14.33203125" customWidth="1"/>
  </cols>
  <sheetData>
    <row r="1" spans="1:5" x14ac:dyDescent="0.2">
      <c r="A1" s="2" t="s">
        <v>21</v>
      </c>
      <c r="B1" s="2" t="s">
        <v>17</v>
      </c>
      <c r="C1" s="2" t="s">
        <v>18</v>
      </c>
      <c r="D1" s="2" t="s">
        <v>13</v>
      </c>
      <c r="E1" s="2" t="s">
        <v>14</v>
      </c>
    </row>
    <row r="2" spans="1:5" x14ac:dyDescent="0.2">
      <c r="A2" s="2" t="s">
        <v>22</v>
      </c>
      <c r="B2" s="2">
        <v>35</v>
      </c>
      <c r="C2" s="2">
        <v>11</v>
      </c>
      <c r="D2" s="3">
        <f t="shared" ref="D2" si="0">B2/50</f>
        <v>0.7</v>
      </c>
      <c r="E2" s="3">
        <f t="shared" ref="E2" si="1">C2/50</f>
        <v>0.22</v>
      </c>
    </row>
    <row r="3" spans="1:5" x14ac:dyDescent="0.2">
      <c r="A3" s="2" t="s">
        <v>23</v>
      </c>
      <c r="B3" s="2">
        <v>20</v>
      </c>
      <c r="C3" s="2">
        <v>5</v>
      </c>
      <c r="D3" s="3">
        <f t="shared" ref="D3:D5" si="2">B3/50</f>
        <v>0.4</v>
      </c>
      <c r="E3" s="3">
        <f t="shared" ref="E3:E5" si="3">C3/50</f>
        <v>0.1</v>
      </c>
    </row>
    <row r="4" spans="1:5" x14ac:dyDescent="0.2">
      <c r="A4" s="2" t="s">
        <v>24</v>
      </c>
      <c r="B4" s="2">
        <v>30</v>
      </c>
      <c r="C4" s="2">
        <v>10</v>
      </c>
      <c r="D4" s="3">
        <f t="shared" si="2"/>
        <v>0.6</v>
      </c>
      <c r="E4" s="3">
        <f t="shared" si="3"/>
        <v>0.2</v>
      </c>
    </row>
    <row r="5" spans="1:5" x14ac:dyDescent="0.2">
      <c r="A5" s="2" t="s">
        <v>25</v>
      </c>
      <c r="B5" s="2">
        <v>31</v>
      </c>
      <c r="C5" s="2">
        <v>11</v>
      </c>
      <c r="D5" s="3">
        <f t="shared" si="2"/>
        <v>0.62</v>
      </c>
      <c r="E5" s="3">
        <f t="shared" si="3"/>
        <v>0.22</v>
      </c>
    </row>
    <row r="6" spans="1:5" x14ac:dyDescent="0.2">
      <c r="A6" s="2"/>
      <c r="B6" s="2"/>
      <c r="C6" s="2"/>
      <c r="D6" s="2"/>
      <c r="E6" s="2"/>
    </row>
    <row r="7" spans="1:5" x14ac:dyDescent="0.2">
      <c r="A7" s="2"/>
      <c r="B7" s="2"/>
      <c r="C7" s="2"/>
      <c r="D7" s="2"/>
      <c r="E7" s="2"/>
    </row>
    <row r="10" spans="1:5" x14ac:dyDescent="0.2">
      <c r="A10" s="2" t="s">
        <v>3</v>
      </c>
      <c r="B10" s="2" t="s">
        <v>0</v>
      </c>
      <c r="C10" s="2" t="s">
        <v>2</v>
      </c>
      <c r="D10" s="2" t="s">
        <v>13</v>
      </c>
      <c r="E10" s="2" t="s">
        <v>14</v>
      </c>
    </row>
    <row r="11" spans="1:5" x14ac:dyDescent="0.2">
      <c r="A11" s="2" t="s">
        <v>1</v>
      </c>
      <c r="B11" s="2">
        <v>33</v>
      </c>
      <c r="C11" s="2">
        <v>13</v>
      </c>
      <c r="D11" s="12">
        <f t="shared" ref="D11:E14" si="4">B11/50</f>
        <v>0.66</v>
      </c>
      <c r="E11" s="12">
        <f t="shared" si="4"/>
        <v>0.26</v>
      </c>
    </row>
    <row r="12" spans="1:5" x14ac:dyDescent="0.2">
      <c r="A12" s="2" t="s">
        <v>37</v>
      </c>
      <c r="B12" s="2">
        <v>30</v>
      </c>
      <c r="C12" s="2">
        <v>22</v>
      </c>
      <c r="D12" s="2">
        <f t="shared" si="4"/>
        <v>0.6</v>
      </c>
      <c r="E12" s="2">
        <f t="shared" si="4"/>
        <v>0.44</v>
      </c>
    </row>
    <row r="13" spans="1:5" x14ac:dyDescent="0.2">
      <c r="A13" s="2" t="s">
        <v>36</v>
      </c>
      <c r="B13" s="2">
        <v>37</v>
      </c>
      <c r="C13" s="2">
        <v>16</v>
      </c>
      <c r="D13" s="2">
        <f t="shared" si="4"/>
        <v>0.74</v>
      </c>
      <c r="E13" s="2">
        <f t="shared" si="4"/>
        <v>0.32</v>
      </c>
    </row>
    <row r="14" spans="1:5" x14ac:dyDescent="0.2">
      <c r="A14" s="2" t="s">
        <v>35</v>
      </c>
      <c r="B14" s="2">
        <v>42</v>
      </c>
      <c r="C14" s="2">
        <v>21</v>
      </c>
      <c r="D14" s="2">
        <f t="shared" si="4"/>
        <v>0.84</v>
      </c>
      <c r="E14" s="2">
        <f t="shared" si="4"/>
        <v>0.42</v>
      </c>
    </row>
    <row r="17" spans="1:7" x14ac:dyDescent="0.2">
      <c r="A17" s="2" t="s">
        <v>3</v>
      </c>
      <c r="B17" s="2" t="s">
        <v>0</v>
      </c>
      <c r="C17" s="2" t="s">
        <v>2</v>
      </c>
      <c r="D17" s="2" t="s">
        <v>13</v>
      </c>
      <c r="E17" s="2" t="s">
        <v>14</v>
      </c>
      <c r="F17" s="2" t="s">
        <v>41</v>
      </c>
    </row>
    <row r="18" spans="1:7" x14ac:dyDescent="0.2">
      <c r="A18" s="2" t="s">
        <v>1</v>
      </c>
      <c r="B18" s="2">
        <v>33</v>
      </c>
      <c r="C18" s="2">
        <v>13</v>
      </c>
      <c r="D18" s="12">
        <f>B18/50</f>
        <v>0.66</v>
      </c>
      <c r="E18" s="12">
        <f>C18/50</f>
        <v>0.26</v>
      </c>
      <c r="F18" s="12">
        <f>D18-E18</f>
        <v>0.4</v>
      </c>
    </row>
    <row r="19" spans="1:7" x14ac:dyDescent="0.2">
      <c r="A19" s="2" t="s">
        <v>40</v>
      </c>
      <c r="B19" s="2">
        <v>42</v>
      </c>
      <c r="C19" s="2">
        <v>21</v>
      </c>
      <c r="D19" s="12">
        <f t="shared" ref="D19:D20" si="5">B19/50</f>
        <v>0.84</v>
      </c>
      <c r="E19" s="12">
        <f t="shared" ref="E19:E20" si="6">C19/50</f>
        <v>0.42</v>
      </c>
      <c r="F19" s="12">
        <f t="shared" ref="F19:F20" si="7">D19-E19</f>
        <v>0.42</v>
      </c>
    </row>
    <row r="20" spans="1:7" x14ac:dyDescent="0.2">
      <c r="A20" s="2" t="s">
        <v>39</v>
      </c>
      <c r="B20" s="2">
        <v>35</v>
      </c>
      <c r="C20" s="2">
        <v>11</v>
      </c>
      <c r="D20" s="12">
        <f t="shared" si="5"/>
        <v>0.7</v>
      </c>
      <c r="E20" s="12">
        <f t="shared" si="6"/>
        <v>0.22</v>
      </c>
      <c r="F20" s="12">
        <f t="shared" si="7"/>
        <v>0.48</v>
      </c>
    </row>
    <row r="23" spans="1:7" x14ac:dyDescent="0.2">
      <c r="A23" t="s">
        <v>38</v>
      </c>
      <c r="B23" s="2" t="s">
        <v>17</v>
      </c>
      <c r="C23" s="2" t="s">
        <v>18</v>
      </c>
      <c r="D23" s="2" t="s">
        <v>13</v>
      </c>
      <c r="E23" s="2" t="s">
        <v>14</v>
      </c>
    </row>
    <row r="24" spans="1:7" x14ac:dyDescent="0.2">
      <c r="A24">
        <v>200</v>
      </c>
      <c r="B24" s="2">
        <v>26</v>
      </c>
      <c r="C24" s="2">
        <v>8</v>
      </c>
      <c r="D24" s="2">
        <f t="shared" ref="D24:E28" si="8">B24/50</f>
        <v>0.52</v>
      </c>
      <c r="E24" s="2">
        <f t="shared" si="8"/>
        <v>0.16</v>
      </c>
    </row>
    <row r="25" spans="1:7" x14ac:dyDescent="0.2">
      <c r="A25">
        <v>500</v>
      </c>
      <c r="B25" s="2">
        <v>30</v>
      </c>
      <c r="C25" s="2">
        <v>9</v>
      </c>
      <c r="D25" s="2">
        <f t="shared" si="8"/>
        <v>0.6</v>
      </c>
      <c r="E25" s="2">
        <f t="shared" si="8"/>
        <v>0.18</v>
      </c>
      <c r="F25" s="11">
        <v>33</v>
      </c>
      <c r="G25" s="11">
        <v>23</v>
      </c>
    </row>
    <row r="26" spans="1:7" x14ac:dyDescent="0.2">
      <c r="A26">
        <v>1000</v>
      </c>
      <c r="B26" s="2">
        <v>29</v>
      </c>
      <c r="C26" s="2">
        <v>8</v>
      </c>
      <c r="D26" s="2">
        <f t="shared" si="8"/>
        <v>0.57999999999999996</v>
      </c>
      <c r="E26" s="2">
        <f t="shared" si="8"/>
        <v>0.16</v>
      </c>
      <c r="F26" s="11">
        <v>35</v>
      </c>
      <c r="G26" s="11">
        <v>21</v>
      </c>
    </row>
    <row r="27" spans="1:7" x14ac:dyDescent="0.2">
      <c r="A27">
        <v>2000</v>
      </c>
      <c r="B27" s="2">
        <v>36</v>
      </c>
      <c r="C27" s="2">
        <v>15</v>
      </c>
      <c r="D27" s="2">
        <f t="shared" si="8"/>
        <v>0.72</v>
      </c>
      <c r="E27" s="2">
        <f t="shared" si="8"/>
        <v>0.3</v>
      </c>
      <c r="F27" s="2">
        <v>36</v>
      </c>
      <c r="G27" s="2">
        <v>15</v>
      </c>
    </row>
    <row r="28" spans="1:7" x14ac:dyDescent="0.2">
      <c r="A28">
        <v>2328</v>
      </c>
      <c r="B28" s="10">
        <v>42</v>
      </c>
      <c r="C28" s="10">
        <v>21</v>
      </c>
      <c r="D28" s="10">
        <f t="shared" si="8"/>
        <v>0.84</v>
      </c>
      <c r="E28" s="10">
        <f t="shared" si="8"/>
        <v>0.42</v>
      </c>
    </row>
    <row r="34" spans="1:17" x14ac:dyDescent="0.2">
      <c r="B34" t="s">
        <v>34</v>
      </c>
      <c r="F34" t="s">
        <v>35</v>
      </c>
      <c r="J34" t="s">
        <v>36</v>
      </c>
      <c r="N34" t="s">
        <v>37</v>
      </c>
    </row>
    <row r="35" spans="1:17" x14ac:dyDescent="0.2">
      <c r="A35" s="2"/>
      <c r="B35" s="2" t="s">
        <v>17</v>
      </c>
      <c r="C35" s="2" t="s">
        <v>18</v>
      </c>
      <c r="D35" s="2" t="s">
        <v>13</v>
      </c>
      <c r="E35" s="2" t="s">
        <v>14</v>
      </c>
      <c r="F35" s="2" t="s">
        <v>17</v>
      </c>
      <c r="G35" s="2" t="s">
        <v>18</v>
      </c>
      <c r="H35" s="2" t="s">
        <v>13</v>
      </c>
      <c r="I35" s="2" t="s">
        <v>14</v>
      </c>
      <c r="J35" s="2" t="s">
        <v>17</v>
      </c>
      <c r="K35" s="2" t="s">
        <v>18</v>
      </c>
      <c r="L35" s="2" t="s">
        <v>13</v>
      </c>
      <c r="M35" s="2" t="s">
        <v>14</v>
      </c>
      <c r="N35" s="2" t="s">
        <v>17</v>
      </c>
      <c r="O35" s="2" t="s">
        <v>18</v>
      </c>
      <c r="P35" s="2" t="s">
        <v>13</v>
      </c>
      <c r="Q35" s="2" t="s">
        <v>14</v>
      </c>
    </row>
    <row r="36" spans="1:17" x14ac:dyDescent="0.2">
      <c r="A36" s="2" t="s">
        <v>19</v>
      </c>
      <c r="B36" s="2">
        <v>44</v>
      </c>
      <c r="C36" s="2">
        <v>32</v>
      </c>
      <c r="D36" s="2">
        <f>B36/50</f>
        <v>0.88</v>
      </c>
      <c r="E36" s="2">
        <f>C36/50</f>
        <v>0.64</v>
      </c>
      <c r="F36" s="2">
        <v>42</v>
      </c>
      <c r="G36" s="2">
        <v>21</v>
      </c>
      <c r="H36" s="2">
        <f>F36/50</f>
        <v>0.84</v>
      </c>
      <c r="I36" s="2">
        <f>G36/50</f>
        <v>0.42</v>
      </c>
      <c r="J36" s="2">
        <v>37</v>
      </c>
      <c r="K36" s="2">
        <v>16</v>
      </c>
      <c r="L36" s="2">
        <f>J36/50</f>
        <v>0.74</v>
      </c>
      <c r="M36" s="2">
        <f>K36/50</f>
        <v>0.32</v>
      </c>
      <c r="N36" s="2">
        <v>30</v>
      </c>
      <c r="O36" s="2">
        <v>22</v>
      </c>
      <c r="P36" s="2">
        <f>N36/50</f>
        <v>0.6</v>
      </c>
      <c r="Q36" s="2">
        <f>O36/50</f>
        <v>0.44</v>
      </c>
    </row>
    <row r="37" spans="1:17" x14ac:dyDescent="0.2">
      <c r="A37" s="2" t="s">
        <v>20</v>
      </c>
      <c r="B37" s="2">
        <v>33</v>
      </c>
      <c r="C37" s="2">
        <v>20</v>
      </c>
      <c r="D37" s="2">
        <f>B37/50</f>
        <v>0.66</v>
      </c>
      <c r="E37" s="2">
        <f>C37/50</f>
        <v>0.4</v>
      </c>
      <c r="F37" s="2">
        <v>35</v>
      </c>
      <c r="G37" s="2">
        <v>11</v>
      </c>
      <c r="H37" s="2">
        <f>F37/50</f>
        <v>0.7</v>
      </c>
      <c r="I37" s="2">
        <f>G37/50</f>
        <v>0.22</v>
      </c>
      <c r="J37" s="2">
        <v>28</v>
      </c>
      <c r="K37" s="2">
        <v>13</v>
      </c>
      <c r="L37" s="2">
        <f>J37/50</f>
        <v>0.56000000000000005</v>
      </c>
      <c r="M37" s="2">
        <f>K37/50</f>
        <v>0.26</v>
      </c>
      <c r="N37" s="2">
        <v>28</v>
      </c>
      <c r="O37" s="2">
        <v>21</v>
      </c>
      <c r="P37" s="2">
        <f>N37/50</f>
        <v>0.56000000000000005</v>
      </c>
      <c r="Q37" s="2">
        <f>O37/50</f>
        <v>0.42</v>
      </c>
    </row>
    <row r="38" spans="1:17" x14ac:dyDescent="0.2">
      <c r="N38">
        <v>26</v>
      </c>
      <c r="O38">
        <v>19</v>
      </c>
    </row>
    <row r="39" spans="1:17" x14ac:dyDescent="0.2">
      <c r="B39">
        <v>33</v>
      </c>
      <c r="C39">
        <v>14</v>
      </c>
      <c r="N39">
        <v>20</v>
      </c>
      <c r="O39">
        <v>15</v>
      </c>
    </row>
    <row r="51" spans="8:8" x14ac:dyDescent="0.2">
      <c r="H51" s="11">
        <v>6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CBB5-597B-E248-BBD7-EA6C04CBFAF3}">
  <dimension ref="A1:O33"/>
  <sheetViews>
    <sheetView topLeftCell="A9" workbookViewId="0">
      <selection activeCell="A29" sqref="A29:F32"/>
    </sheetView>
  </sheetViews>
  <sheetFormatPr baseColWidth="10" defaultRowHeight="16" x14ac:dyDescent="0.2"/>
  <sheetData>
    <row r="1" spans="1:15" x14ac:dyDescent="0.2">
      <c r="A1" t="s">
        <v>50</v>
      </c>
    </row>
    <row r="2" spans="1:15" x14ac:dyDescent="0.2">
      <c r="A2" s="2" t="s">
        <v>42</v>
      </c>
      <c r="B2" s="2" t="s">
        <v>0</v>
      </c>
      <c r="C2" s="2" t="s">
        <v>2</v>
      </c>
      <c r="D2" s="2" t="s">
        <v>47</v>
      </c>
      <c r="E2" s="2" t="s">
        <v>13</v>
      </c>
      <c r="F2" s="2" t="s">
        <v>48</v>
      </c>
      <c r="G2" s="2" t="s">
        <v>41</v>
      </c>
      <c r="I2" s="2" t="s">
        <v>42</v>
      </c>
      <c r="J2" s="2" t="s">
        <v>0</v>
      </c>
      <c r="K2" s="2" t="s">
        <v>2</v>
      </c>
      <c r="L2" s="2" t="s">
        <v>47</v>
      </c>
      <c r="M2" s="2" t="s">
        <v>13</v>
      </c>
      <c r="N2" s="2" t="s">
        <v>48</v>
      </c>
      <c r="O2" s="2" t="s">
        <v>41</v>
      </c>
    </row>
    <row r="3" spans="1:15" ht="51" x14ac:dyDescent="0.2">
      <c r="A3" s="4" t="s">
        <v>43</v>
      </c>
      <c r="B3" s="2">
        <v>42</v>
      </c>
      <c r="C3" s="2">
        <v>21</v>
      </c>
      <c r="D3" s="2">
        <v>3</v>
      </c>
      <c r="E3" s="2">
        <f>B3/50</f>
        <v>0.84</v>
      </c>
      <c r="F3" s="2">
        <f>(C3+D3)/50</f>
        <v>0.48</v>
      </c>
      <c r="G3" s="2">
        <f>E3-F3</f>
        <v>0.36</v>
      </c>
      <c r="I3" s="4" t="s">
        <v>43</v>
      </c>
      <c r="J3" s="2">
        <v>36</v>
      </c>
      <c r="K3" s="2">
        <v>15</v>
      </c>
      <c r="L3" s="2">
        <v>2</v>
      </c>
      <c r="M3" s="2">
        <f>J3/50</f>
        <v>0.72</v>
      </c>
      <c r="N3" s="2">
        <f>(K3+L3)/50</f>
        <v>0.34</v>
      </c>
      <c r="O3" s="2">
        <f>M3-N3</f>
        <v>0.37999999999999995</v>
      </c>
    </row>
    <row r="4" spans="1:15" x14ac:dyDescent="0.2">
      <c r="A4" s="2" t="s">
        <v>44</v>
      </c>
      <c r="B4" s="2">
        <v>39</v>
      </c>
      <c r="C4" s="2">
        <v>20</v>
      </c>
      <c r="D4" s="2">
        <v>2</v>
      </c>
      <c r="E4" s="2">
        <f>B4/50</f>
        <v>0.78</v>
      </c>
      <c r="F4" s="2">
        <f>(C4+D4)/50</f>
        <v>0.44</v>
      </c>
      <c r="G4" s="2">
        <f>E4-F4</f>
        <v>0.34</v>
      </c>
      <c r="I4" s="2" t="s">
        <v>44</v>
      </c>
      <c r="J4" s="2">
        <v>37</v>
      </c>
      <c r="K4" s="2">
        <v>13</v>
      </c>
      <c r="L4" s="2">
        <v>2</v>
      </c>
      <c r="M4" s="2">
        <f>J4/50</f>
        <v>0.74</v>
      </c>
      <c r="N4" s="2">
        <f>(K4+L4)/50</f>
        <v>0.3</v>
      </c>
      <c r="O4" s="2">
        <f>M4-N4</f>
        <v>0.44</v>
      </c>
    </row>
    <row r="5" spans="1:15" x14ac:dyDescent="0.2">
      <c r="A5" s="2" t="s">
        <v>45</v>
      </c>
      <c r="B5" s="2">
        <v>36</v>
      </c>
      <c r="C5" s="2">
        <v>11</v>
      </c>
      <c r="D5" s="2">
        <v>1</v>
      </c>
      <c r="E5" s="2">
        <f>B5/50</f>
        <v>0.72</v>
      </c>
      <c r="F5" s="2">
        <f>(C5+D5)/50</f>
        <v>0.24</v>
      </c>
      <c r="G5" s="2">
        <f>E5-F5</f>
        <v>0.48</v>
      </c>
      <c r="I5" s="2" t="s">
        <v>45</v>
      </c>
      <c r="J5" s="2">
        <v>36</v>
      </c>
      <c r="K5" s="2">
        <v>13</v>
      </c>
      <c r="L5" s="2">
        <v>2</v>
      </c>
      <c r="M5" s="2">
        <f>J5/50</f>
        <v>0.72</v>
      </c>
      <c r="N5" s="2">
        <f>(K5+L5)/50</f>
        <v>0.3</v>
      </c>
      <c r="O5" s="2">
        <f>M5-N5</f>
        <v>0.42</v>
      </c>
    </row>
    <row r="6" spans="1:15" x14ac:dyDescent="0.2">
      <c r="A6" s="2"/>
      <c r="B6" s="2"/>
      <c r="C6" s="2"/>
      <c r="D6" s="2"/>
      <c r="E6" s="2"/>
      <c r="F6" s="2"/>
      <c r="G6" s="2"/>
      <c r="I6" s="2" t="s">
        <v>46</v>
      </c>
      <c r="J6" s="2">
        <v>29</v>
      </c>
      <c r="K6" s="2">
        <v>10</v>
      </c>
      <c r="L6" s="2">
        <v>1</v>
      </c>
      <c r="M6" s="2">
        <f>J6/50</f>
        <v>0.57999999999999996</v>
      </c>
      <c r="N6" s="2">
        <f>(K6+L6)/50</f>
        <v>0.22</v>
      </c>
      <c r="O6" s="2">
        <f>M6-N6</f>
        <v>0.36</v>
      </c>
    </row>
    <row r="8" spans="1:15" x14ac:dyDescent="0.2">
      <c r="A8" t="s">
        <v>49</v>
      </c>
      <c r="B8">
        <v>39</v>
      </c>
      <c r="C8">
        <v>18</v>
      </c>
      <c r="D8">
        <v>3</v>
      </c>
      <c r="E8" s="2">
        <f>B8/50</f>
        <v>0.78</v>
      </c>
      <c r="F8" s="2">
        <f>(C8+D8)/50</f>
        <v>0.42</v>
      </c>
      <c r="G8" s="2">
        <f>E8-F8</f>
        <v>0.36000000000000004</v>
      </c>
    </row>
    <row r="11" spans="1:15" x14ac:dyDescent="0.2">
      <c r="A11" s="2" t="s">
        <v>42</v>
      </c>
      <c r="B11" s="2" t="s">
        <v>0</v>
      </c>
      <c r="C11" s="2" t="s">
        <v>2</v>
      </c>
      <c r="D11" s="2" t="s">
        <v>13</v>
      </c>
      <c r="E11" s="2" t="s">
        <v>14</v>
      </c>
      <c r="F11" s="2" t="s">
        <v>42</v>
      </c>
      <c r="G11" s="2" t="s">
        <v>0</v>
      </c>
      <c r="H11" s="2" t="s">
        <v>2</v>
      </c>
      <c r="I11" s="2" t="s">
        <v>13</v>
      </c>
      <c r="J11" s="2" t="s">
        <v>14</v>
      </c>
    </row>
    <row r="12" spans="1:15" ht="51" x14ac:dyDescent="0.2">
      <c r="A12" s="4" t="s">
        <v>43</v>
      </c>
      <c r="B12" s="2">
        <v>42</v>
      </c>
      <c r="C12" s="2">
        <v>21</v>
      </c>
      <c r="D12">
        <f>B12/50</f>
        <v>0.84</v>
      </c>
      <c r="E12">
        <f>C12/50</f>
        <v>0.42</v>
      </c>
      <c r="F12" s="4" t="s">
        <v>43</v>
      </c>
      <c r="G12" s="2">
        <v>43</v>
      </c>
      <c r="H12" s="2">
        <v>21</v>
      </c>
      <c r="I12">
        <f>G12/50</f>
        <v>0.86</v>
      </c>
      <c r="J12">
        <f>H12/50</f>
        <v>0.42</v>
      </c>
    </row>
    <row r="13" spans="1:15" x14ac:dyDescent="0.2">
      <c r="A13" s="2" t="s">
        <v>44</v>
      </c>
      <c r="B13" s="2">
        <v>39</v>
      </c>
      <c r="C13" s="2">
        <v>20</v>
      </c>
      <c r="D13">
        <f t="shared" ref="D13:D14" si="0">B13/50</f>
        <v>0.78</v>
      </c>
      <c r="E13">
        <f t="shared" ref="E13:E14" si="1">C13/50</f>
        <v>0.4</v>
      </c>
      <c r="F13" s="2" t="s">
        <v>44</v>
      </c>
      <c r="G13" s="2">
        <v>43</v>
      </c>
      <c r="H13" s="2">
        <v>21</v>
      </c>
      <c r="I13">
        <f t="shared" ref="I13:I14" si="2">G13/50</f>
        <v>0.86</v>
      </c>
      <c r="J13">
        <f t="shared" ref="J13:J14" si="3">H13/50</f>
        <v>0.42</v>
      </c>
    </row>
    <row r="14" spans="1:15" x14ac:dyDescent="0.2">
      <c r="A14" s="2" t="s">
        <v>45</v>
      </c>
      <c r="B14" s="2">
        <v>36</v>
      </c>
      <c r="C14" s="2">
        <v>11</v>
      </c>
      <c r="D14">
        <f t="shared" si="0"/>
        <v>0.72</v>
      </c>
      <c r="E14">
        <f t="shared" si="1"/>
        <v>0.22</v>
      </c>
      <c r="F14" s="2" t="s">
        <v>45</v>
      </c>
      <c r="G14" s="2">
        <v>43</v>
      </c>
      <c r="H14" s="2">
        <v>21</v>
      </c>
      <c r="I14">
        <f t="shared" si="2"/>
        <v>0.86</v>
      </c>
      <c r="J14">
        <f t="shared" si="3"/>
        <v>0.42</v>
      </c>
    </row>
    <row r="16" spans="1:15" x14ac:dyDescent="0.2">
      <c r="A16" t="s">
        <v>6</v>
      </c>
    </row>
    <row r="17" spans="1:5" x14ac:dyDescent="0.2">
      <c r="A17" s="2" t="s">
        <v>42</v>
      </c>
      <c r="B17" s="2" t="s">
        <v>0</v>
      </c>
      <c r="C17" s="2" t="s">
        <v>2</v>
      </c>
      <c r="D17" s="2" t="s">
        <v>13</v>
      </c>
      <c r="E17" s="2" t="s">
        <v>14</v>
      </c>
    </row>
    <row r="18" spans="1:5" ht="51" x14ac:dyDescent="0.2">
      <c r="A18" s="4" t="s">
        <v>43</v>
      </c>
      <c r="B18" s="2">
        <v>24</v>
      </c>
      <c r="C18" s="2">
        <v>23</v>
      </c>
      <c r="D18">
        <f>B18/50</f>
        <v>0.48</v>
      </c>
      <c r="E18">
        <f>C18/50</f>
        <v>0.46</v>
      </c>
    </row>
    <row r="19" spans="1:5" x14ac:dyDescent="0.2">
      <c r="A19" s="2" t="s">
        <v>44</v>
      </c>
      <c r="B19" s="2">
        <v>24</v>
      </c>
      <c r="C19" s="2">
        <v>23</v>
      </c>
      <c r="D19">
        <f t="shared" ref="D19:D20" si="4">B19/50</f>
        <v>0.48</v>
      </c>
      <c r="E19">
        <f t="shared" ref="E19:E20" si="5">C19/50</f>
        <v>0.46</v>
      </c>
    </row>
    <row r="20" spans="1:5" x14ac:dyDescent="0.2">
      <c r="A20" s="2" t="s">
        <v>45</v>
      </c>
      <c r="B20" s="2">
        <v>22</v>
      </c>
      <c r="C20" s="2">
        <v>15</v>
      </c>
      <c r="D20">
        <f t="shared" si="4"/>
        <v>0.44</v>
      </c>
      <c r="E20">
        <f t="shared" si="5"/>
        <v>0.3</v>
      </c>
    </row>
    <row r="21" spans="1:5" x14ac:dyDescent="0.2">
      <c r="A21" t="s">
        <v>46</v>
      </c>
      <c r="B21">
        <v>22</v>
      </c>
      <c r="C21">
        <v>13</v>
      </c>
      <c r="D21">
        <f t="shared" ref="D21" si="6">B21/50</f>
        <v>0.44</v>
      </c>
      <c r="E21">
        <f t="shared" ref="E21" si="7">C21/50</f>
        <v>0.26</v>
      </c>
    </row>
    <row r="23" spans="1:5" x14ac:dyDescent="0.2">
      <c r="A23" t="s">
        <v>51</v>
      </c>
    </row>
    <row r="24" spans="1:5" x14ac:dyDescent="0.2">
      <c r="A24" s="2" t="s">
        <v>42</v>
      </c>
      <c r="B24" s="2" t="s">
        <v>0</v>
      </c>
      <c r="C24" s="2" t="s">
        <v>2</v>
      </c>
      <c r="D24" s="2" t="s">
        <v>13</v>
      </c>
      <c r="E24" s="2" t="s">
        <v>14</v>
      </c>
    </row>
    <row r="25" spans="1:5" ht="51" x14ac:dyDescent="0.2">
      <c r="A25" s="4" t="s">
        <v>43</v>
      </c>
      <c r="B25" s="2">
        <v>28</v>
      </c>
      <c r="C25" s="2">
        <v>30</v>
      </c>
      <c r="D25">
        <f>B25/50</f>
        <v>0.56000000000000005</v>
      </c>
      <c r="E25">
        <f>C25/50</f>
        <v>0.6</v>
      </c>
    </row>
    <row r="26" spans="1:5" x14ac:dyDescent="0.2">
      <c r="A26" s="2" t="s">
        <v>44</v>
      </c>
      <c r="B26" s="2">
        <v>27</v>
      </c>
      <c r="C26" s="2">
        <v>27</v>
      </c>
      <c r="D26">
        <f t="shared" ref="D26:D27" si="8">B26/50</f>
        <v>0.54</v>
      </c>
      <c r="E26">
        <f t="shared" ref="E26:E27" si="9">C26/50</f>
        <v>0.54</v>
      </c>
    </row>
    <row r="27" spans="1:5" x14ac:dyDescent="0.2">
      <c r="A27" s="2" t="s">
        <v>45</v>
      </c>
      <c r="B27" s="2">
        <v>23</v>
      </c>
      <c r="C27" s="2">
        <v>17</v>
      </c>
      <c r="D27">
        <f t="shared" si="8"/>
        <v>0.46</v>
      </c>
      <c r="E27">
        <f t="shared" si="9"/>
        <v>0.34</v>
      </c>
    </row>
    <row r="29" spans="1:5" x14ac:dyDescent="0.2">
      <c r="A29" t="s">
        <v>52</v>
      </c>
    </row>
    <row r="30" spans="1:5" x14ac:dyDescent="0.2">
      <c r="A30" s="2" t="s">
        <v>42</v>
      </c>
      <c r="B30" s="2" t="s">
        <v>0</v>
      </c>
      <c r="C30" s="2" t="s">
        <v>2</v>
      </c>
      <c r="D30" s="2" t="s">
        <v>13</v>
      </c>
      <c r="E30" s="2" t="s">
        <v>14</v>
      </c>
    </row>
    <row r="31" spans="1:5" ht="51" x14ac:dyDescent="0.2">
      <c r="A31" s="4" t="s">
        <v>43</v>
      </c>
      <c r="B31" s="2">
        <v>42</v>
      </c>
      <c r="C31" s="2">
        <v>19</v>
      </c>
      <c r="D31">
        <f>B31/50</f>
        <v>0.84</v>
      </c>
      <c r="E31">
        <f>C31/50</f>
        <v>0.38</v>
      </c>
    </row>
    <row r="32" spans="1:5" x14ac:dyDescent="0.2">
      <c r="A32" s="2" t="s">
        <v>44</v>
      </c>
      <c r="B32" s="2">
        <v>42</v>
      </c>
      <c r="C32" s="2">
        <v>18</v>
      </c>
      <c r="D32">
        <f t="shared" ref="D32:D33" si="10">B32/50</f>
        <v>0.84</v>
      </c>
      <c r="E32">
        <f t="shared" ref="E32:E33" si="11">C32/50</f>
        <v>0.36</v>
      </c>
    </row>
    <row r="33" spans="1:5" x14ac:dyDescent="0.2">
      <c r="A33" s="2" t="s">
        <v>45</v>
      </c>
      <c r="B33" s="2">
        <v>42</v>
      </c>
      <c r="C33" s="2">
        <v>17</v>
      </c>
      <c r="D33">
        <f t="shared" si="10"/>
        <v>0.84</v>
      </c>
      <c r="E33">
        <f t="shared" si="11"/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10-20</vt:lpstr>
      <vt:lpstr>qwen3-1020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Jin (yang3j7)</dc:creator>
  <cp:lastModifiedBy>Yang, Jin (yang3j7)</cp:lastModifiedBy>
  <dcterms:created xsi:type="dcterms:W3CDTF">2025-09-23T20:50:49Z</dcterms:created>
  <dcterms:modified xsi:type="dcterms:W3CDTF">2025-11-05T22:25:04Z</dcterms:modified>
</cp:coreProperties>
</file>